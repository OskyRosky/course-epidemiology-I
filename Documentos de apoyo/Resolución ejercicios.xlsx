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65" windowWidth="14805" windowHeight="7950"/>
  </bookViews>
  <sheets>
    <sheet name="Hoja1" sheetId="1" r:id="rId1"/>
    <sheet name="Hoja2" sheetId="2" r:id="rId2"/>
    <sheet name="Hoja3" sheetId="3" r:id="rId3"/>
  </sheets>
  <calcPr calcId="145621"/>
</workbook>
</file>

<file path=xl/calcChain.xml><?xml version="1.0" encoding="utf-8"?>
<calcChain xmlns="http://schemas.openxmlformats.org/spreadsheetml/2006/main">
  <c r="C19" i="1" l="1"/>
  <c r="H8" i="1" s="1"/>
  <c r="B19" i="1"/>
  <c r="F25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2" i="1"/>
  <c r="C18" i="1"/>
  <c r="B18" i="1"/>
  <c r="D18" i="1" l="1"/>
  <c r="H4" i="1"/>
  <c r="E18" i="1"/>
  <c r="H16" i="1"/>
  <c r="F18" i="1"/>
  <c r="B25" i="1" s="1"/>
  <c r="H12" i="1"/>
  <c r="I4" i="1"/>
  <c r="G17" i="1"/>
  <c r="G13" i="1"/>
  <c r="G9" i="1"/>
  <c r="G5" i="1"/>
  <c r="I2" i="1"/>
  <c r="I14" i="1"/>
  <c r="I10" i="1"/>
  <c r="I6" i="1"/>
  <c r="H2" i="1"/>
  <c r="G14" i="1"/>
  <c r="G10" i="1"/>
  <c r="G6" i="1"/>
  <c r="H17" i="1"/>
  <c r="H13" i="1"/>
  <c r="H9" i="1"/>
  <c r="H5" i="1"/>
  <c r="I15" i="1"/>
  <c r="I11" i="1"/>
  <c r="I7" i="1"/>
  <c r="I3" i="1"/>
  <c r="G16" i="1"/>
  <c r="G12" i="1"/>
  <c r="G8" i="1"/>
  <c r="G4" i="1"/>
  <c r="H15" i="1"/>
  <c r="H11" i="1"/>
  <c r="H7" i="1"/>
  <c r="H3" i="1"/>
  <c r="I17" i="1"/>
  <c r="I13" i="1"/>
  <c r="I9" i="1"/>
  <c r="I5" i="1"/>
  <c r="G2" i="1"/>
  <c r="G15" i="1"/>
  <c r="G11" i="1"/>
  <c r="G7" i="1"/>
  <c r="G3" i="1"/>
  <c r="H14" i="1"/>
  <c r="H10" i="1"/>
  <c r="H6" i="1"/>
  <c r="I16" i="1"/>
  <c r="I12" i="1"/>
  <c r="I8" i="1"/>
  <c r="B26" i="1" l="1"/>
  <c r="C25" i="1" s="1"/>
  <c r="G18" i="1"/>
  <c r="H18" i="1"/>
  <c r="I18" i="1"/>
  <c r="G28" i="1" l="1"/>
  <c r="G31" i="1" s="1"/>
</calcChain>
</file>

<file path=xl/sharedStrings.xml><?xml version="1.0" encoding="utf-8"?>
<sst xmlns="http://schemas.openxmlformats.org/spreadsheetml/2006/main" count="16" uniqueCount="16">
  <si>
    <t>Peso (X)</t>
  </si>
  <si>
    <t>Glucosa (Y)</t>
  </si>
  <si>
    <t>Total</t>
  </si>
  <si>
    <t>X^2</t>
  </si>
  <si>
    <t>Y^2</t>
  </si>
  <si>
    <t>XY</t>
  </si>
  <si>
    <t>r=</t>
  </si>
  <si>
    <t>Excel</t>
  </si>
  <si>
    <t>Promedio</t>
  </si>
  <si>
    <t>SCx</t>
  </si>
  <si>
    <t>SCy</t>
  </si>
  <si>
    <t>SCxy</t>
  </si>
  <si>
    <t>b1=</t>
  </si>
  <si>
    <t>Pendiente</t>
  </si>
  <si>
    <t>Intercepto</t>
  </si>
  <si>
    <t>b0=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</si>
</sst>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/>
    <xf numFmtId="0" fontId="0" fillId="0" borderId="0" xfId="0" applyBorder="1"/>
    <xf numFmtId="0" fontId="0" fillId="0" borderId="3" xfId="0" applyBorder="1"/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/>
    <xf numFmtId="0" fontId="0" fillId="5" borderId="0" xfId="0" applyFill="1"/>
    <xf numFmtId="168" fontId="0" fillId="0" borderId="0" xfId="0" applyNumberFormat="1"/>
    <xf numFmtId="0" fontId="0" fillId="2" borderId="0" xfId="0" applyFill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C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0"/>
            <c:dispEq val="1"/>
            <c:trendlineLbl>
              <c:layout>
                <c:manualLayout>
                  <c:x val="-3.8867235345581799E-2"/>
                  <c:y val="-0.16754046369203848"/>
                </c:manualLayout>
              </c:layout>
              <c:numFmt formatCode="General" sourceLinked="0"/>
            </c:trendlineLbl>
          </c:trendline>
          <c:xVal>
            <c:numRef>
              <c:f>Hoja1!$B$2:$B$17</c:f>
              <c:numCache>
                <c:formatCode>General</c:formatCode>
                <c:ptCount val="16"/>
                <c:pt idx="0">
                  <c:v>64</c:v>
                </c:pt>
                <c:pt idx="1">
                  <c:v>75.3</c:v>
                </c:pt>
                <c:pt idx="2">
                  <c:v>73</c:v>
                </c:pt>
                <c:pt idx="3">
                  <c:v>82.1</c:v>
                </c:pt>
                <c:pt idx="4">
                  <c:v>76.2</c:v>
                </c:pt>
                <c:pt idx="5">
                  <c:v>95.7</c:v>
                </c:pt>
                <c:pt idx="6">
                  <c:v>59.4</c:v>
                </c:pt>
                <c:pt idx="7">
                  <c:v>93.4</c:v>
                </c:pt>
                <c:pt idx="8">
                  <c:v>82.1</c:v>
                </c:pt>
                <c:pt idx="9">
                  <c:v>78.900000000000006</c:v>
                </c:pt>
                <c:pt idx="10">
                  <c:v>76.7</c:v>
                </c:pt>
                <c:pt idx="11">
                  <c:v>82.1</c:v>
                </c:pt>
                <c:pt idx="12">
                  <c:v>83.9</c:v>
                </c:pt>
                <c:pt idx="13">
                  <c:v>73</c:v>
                </c:pt>
                <c:pt idx="14">
                  <c:v>64.400000000000006</c:v>
                </c:pt>
                <c:pt idx="15">
                  <c:v>77.599999999999994</c:v>
                </c:pt>
              </c:numCache>
            </c:numRef>
          </c:xVal>
          <c:yVal>
            <c:numRef>
              <c:f>Hoja1!$C$2:$C$17</c:f>
              <c:numCache>
                <c:formatCode>General</c:formatCode>
                <c:ptCount val="16"/>
                <c:pt idx="0">
                  <c:v>108</c:v>
                </c:pt>
                <c:pt idx="1">
                  <c:v>109</c:v>
                </c:pt>
                <c:pt idx="2">
                  <c:v>104</c:v>
                </c:pt>
                <c:pt idx="3">
                  <c:v>102</c:v>
                </c:pt>
                <c:pt idx="4">
                  <c:v>105</c:v>
                </c:pt>
                <c:pt idx="5">
                  <c:v>121</c:v>
                </c:pt>
                <c:pt idx="6">
                  <c:v>79</c:v>
                </c:pt>
                <c:pt idx="7">
                  <c:v>107</c:v>
                </c:pt>
                <c:pt idx="8">
                  <c:v>101</c:v>
                </c:pt>
                <c:pt idx="9">
                  <c:v>85</c:v>
                </c:pt>
                <c:pt idx="10">
                  <c:v>99</c:v>
                </c:pt>
                <c:pt idx="11">
                  <c:v>100</c:v>
                </c:pt>
                <c:pt idx="12">
                  <c:v>108</c:v>
                </c:pt>
                <c:pt idx="13">
                  <c:v>104</c:v>
                </c:pt>
                <c:pt idx="14">
                  <c:v>102</c:v>
                </c:pt>
                <c:pt idx="15">
                  <c:v>87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446656"/>
        <c:axId val="46970368"/>
      </c:scatterChart>
      <c:valAx>
        <c:axId val="45446656"/>
        <c:scaling>
          <c:orientation val="minMax"/>
          <c:max val="100"/>
          <c:min val="55"/>
        </c:scaling>
        <c:delete val="0"/>
        <c:axPos val="b"/>
        <c:numFmt formatCode="General" sourceLinked="1"/>
        <c:majorTickMark val="out"/>
        <c:minorTickMark val="none"/>
        <c:tickLblPos val="nextTo"/>
        <c:crossAx val="46970368"/>
        <c:crosses val="autoZero"/>
        <c:crossBetween val="midCat"/>
      </c:valAx>
      <c:valAx>
        <c:axId val="46970368"/>
        <c:scaling>
          <c:orientation val="minMax"/>
          <c:min val="6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5446656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257174</xdr:colOff>
      <xdr:row>20</xdr:row>
      <xdr:rowOff>4762</xdr:rowOff>
    </xdr:from>
    <xdr:ext cx="4181475" cy="62087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2 CuadroTexto"/>
            <xdr:cNvSpPr txBox="1"/>
          </xdr:nvSpPr>
          <xdr:spPr>
            <a:xfrm>
              <a:off x="257174" y="3624262"/>
              <a:ext cx="4181475" cy="62087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R" sz="1100" b="0" i="1">
                        <a:latin typeface="Cambria Math"/>
                      </a:rPr>
                      <m:t>𝑟</m:t>
                    </m:r>
                    <m:r>
                      <a:rPr lang="es-CR" sz="1100" b="0" i="1">
                        <a:latin typeface="Cambria Math"/>
                      </a:rPr>
                      <m:t>=</m:t>
                    </m:r>
                    <m:f>
                      <m:fPr>
                        <m:ctrlPr>
                          <a:rPr lang="es-CR" sz="1100" b="0" i="1">
                            <a:latin typeface="Cambria Math"/>
                          </a:rPr>
                        </m:ctrlPr>
                      </m:fPr>
                      <m:num>
                        <m:r>
                          <a:rPr lang="es-CR" sz="1100" b="0" i="1">
                            <a:latin typeface="Cambria Math"/>
                          </a:rPr>
                          <m:t>16∗126128,1−1237,8∗1621</m:t>
                        </m:r>
                      </m:num>
                      <m:den>
                        <m:rad>
                          <m:radPr>
                            <m:degHide m:val="on"/>
                            <m:ctrlPr>
                              <a:rPr lang="es-CR" sz="1100" b="0" i="1">
                                <a:latin typeface="Cambria Math"/>
                              </a:rPr>
                            </m:ctrlPr>
                          </m:radPr>
                          <m:deg/>
                          <m:e>
                            <m:d>
                              <m:dPr>
                                <m:begChr m:val="["/>
                                <m:endChr m:val="]"/>
                                <m:ctrlPr>
                                  <a:rPr lang="es-CR" sz="1100" b="0" i="1">
                                    <a:latin typeface="Cambria Math"/>
                                  </a:rPr>
                                </m:ctrlPr>
                              </m:dPr>
                              <m:e>
                                <m:r>
                                  <a:rPr lang="es-CR" sz="1100" b="0" i="1">
                                    <a:latin typeface="Cambria Math"/>
                                  </a:rPr>
                                  <m:t>16∗97178,8−</m:t>
                                </m:r>
                                <m:sSup>
                                  <m:sSupPr>
                                    <m:ctrlPr>
                                      <a:rPr lang="es-CR" sz="1100" b="0" i="1">
                                        <a:latin typeface="Cambria Math"/>
                                      </a:rPr>
                                    </m:ctrlPr>
                                  </m:sSupPr>
                                  <m:e>
                                    <m:r>
                                      <a:rPr lang="es-CR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  <m:t>(1237,8)</m:t>
                                    </m:r>
                                  </m:e>
                                  <m:sup>
                                    <m:r>
                                      <a:rPr lang="es-CR" sz="1100" b="0" i="1">
                                        <a:latin typeface="Cambria Math"/>
                                      </a:rPr>
                                      <m:t>2</m:t>
                                    </m:r>
                                  </m:sup>
                                </m:sSup>
                              </m:e>
                            </m:d>
                            <m:r>
                              <a:rPr lang="es-CR" sz="1100" b="0" i="1">
                                <a:latin typeface="Cambria Math"/>
                              </a:rPr>
                              <m:t>∗</m:t>
                            </m:r>
                            <m:d>
                              <m:dPr>
                                <m:begChr m:val="["/>
                                <m:endChr m:val="]"/>
                                <m:ctrlPr>
                                  <a:rPr lang="es-CR" sz="1100" b="0" i="1">
                                    <a:latin typeface="Cambria Math"/>
                                  </a:rPr>
                                </m:ctrlPr>
                              </m:dPr>
                              <m:e>
                                <m:r>
                                  <a:rPr lang="es-CR" sz="1100" b="0" i="1">
                                    <a:latin typeface="Cambria Math"/>
                                  </a:rPr>
                                  <m:t>16∗165801−</m:t>
                                </m:r>
                                <m:sSup>
                                  <m:sSupPr>
                                    <m:ctrlPr>
                                      <a:rPr lang="es-CR" sz="1100" b="0" i="1">
                                        <a:latin typeface="Cambria Math"/>
                                      </a:rPr>
                                    </m:ctrlPr>
                                  </m:sSupPr>
                                  <m:e>
                                    <m:r>
                                      <a:rPr lang="es-CR" sz="1100" b="0" i="1">
                                        <a:latin typeface="Cambria Math"/>
                                      </a:rPr>
                                      <m:t>(1621)</m:t>
                                    </m:r>
                                  </m:e>
                                  <m:sup>
                                    <m:r>
                                      <a:rPr lang="es-CR" sz="1100" b="0" i="1">
                                        <a:latin typeface="Cambria Math"/>
                                      </a:rPr>
                                      <m:t>2</m:t>
                                    </m:r>
                                  </m:sup>
                                </m:sSup>
                              </m:e>
                            </m:d>
                          </m:e>
                        </m:rad>
                      </m:den>
                    </m:f>
                  </m:oMath>
                </m:oMathPara>
              </a14:m>
              <a:endParaRPr lang="es-CR" sz="1100"/>
            </a:p>
          </xdr:txBody>
        </xdr:sp>
      </mc:Choice>
      <mc:Fallback>
        <xdr:sp macro="" textlink="">
          <xdr:nvSpPr>
            <xdr:cNvPr id="3" name="2 CuadroTexto"/>
            <xdr:cNvSpPr txBox="1"/>
          </xdr:nvSpPr>
          <xdr:spPr>
            <a:xfrm>
              <a:off x="257174" y="3624262"/>
              <a:ext cx="4181475" cy="62087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es-CR" sz="1100" b="0" i="0">
                  <a:latin typeface="Cambria Math"/>
                </a:rPr>
                <a:t>𝑟=(16∗126128,1−1237,8∗1621)/√([16∗97178,8−〖</a:t>
              </a:r>
              <a:r>
                <a:rPr lang="es-C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(1237,8)</a:t>
              </a:r>
              <a:r>
                <a:rPr lang="es-CR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〗^</a:t>
              </a:r>
              <a:r>
                <a:rPr lang="es-CR" sz="1100" b="0" i="0">
                  <a:latin typeface="Cambria Math"/>
                </a:rPr>
                <a:t>2 ]∗[16∗165801−〖(1621)〗^2 ] )</a:t>
              </a:r>
              <a:endParaRPr lang="es-CR" sz="1100"/>
            </a:p>
          </xdr:txBody>
        </xdr:sp>
      </mc:Fallback>
    </mc:AlternateContent>
    <xdr:clientData/>
  </xdr:oneCellAnchor>
  <xdr:twoCellAnchor editAs="oneCell">
    <xdr:from>
      <xdr:col>2</xdr:col>
      <xdr:colOff>390525</xdr:colOff>
      <xdr:row>27</xdr:row>
      <xdr:rowOff>47625</xdr:rowOff>
    </xdr:from>
    <xdr:to>
      <xdr:col>3</xdr:col>
      <xdr:colOff>400050</xdr:colOff>
      <xdr:row>29</xdr:row>
      <xdr:rowOff>61155</xdr:rowOff>
    </xdr:to>
    <xdr:pic>
      <xdr:nvPicPr>
        <xdr:cNvPr id="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485900" y="5191125"/>
          <a:ext cx="771525" cy="39453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390525</xdr:colOff>
      <xdr:row>29</xdr:row>
      <xdr:rowOff>142875</xdr:rowOff>
    </xdr:from>
    <xdr:to>
      <xdr:col>4</xdr:col>
      <xdr:colOff>261571</xdr:colOff>
      <xdr:row>31</xdr:row>
      <xdr:rowOff>66675</xdr:rowOff>
    </xdr:to>
    <xdr:pic>
      <xdr:nvPicPr>
        <xdr:cNvPr id="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485900" y="5667375"/>
          <a:ext cx="1242646" cy="3048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342900</xdr:colOff>
      <xdr:row>31</xdr:row>
      <xdr:rowOff>180975</xdr:rowOff>
    </xdr:from>
    <xdr:to>
      <xdr:col>7</xdr:col>
      <xdr:colOff>457200</xdr:colOff>
      <xdr:row>46</xdr:row>
      <xdr:rowOff>66675</xdr:rowOff>
    </xdr:to>
    <xdr:graphicFrame macro="">
      <xdr:nvGraphicFramePr>
        <xdr:cNvPr id="9" name="8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tabSelected="1" workbookViewId="0">
      <selection activeCell="I39" sqref="I39"/>
    </sheetView>
  </sheetViews>
  <sheetFormatPr baseColWidth="10" defaultColWidth="9.140625" defaultRowHeight="15" x14ac:dyDescent="0.25"/>
  <cols>
    <col min="1" max="1" width="6.42578125" customWidth="1"/>
    <col min="2" max="2" width="10" customWidth="1"/>
    <col min="3" max="3" width="11.42578125" customWidth="1"/>
    <col min="7" max="7" width="11.5703125" customWidth="1"/>
    <col min="8" max="8" width="11.140625" customWidth="1"/>
  </cols>
  <sheetData>
    <row r="1" spans="1:9" x14ac:dyDescent="0.25">
      <c r="B1" s="1" t="s">
        <v>0</v>
      </c>
      <c r="C1" s="1" t="s">
        <v>1</v>
      </c>
      <c r="D1" s="1" t="s">
        <v>3</v>
      </c>
      <c r="E1" s="16" t="s">
        <v>4</v>
      </c>
      <c r="F1" s="16" t="s">
        <v>5</v>
      </c>
      <c r="G1" s="16" t="s">
        <v>9</v>
      </c>
      <c r="H1" s="16" t="s">
        <v>10</v>
      </c>
      <c r="I1" s="16" t="s">
        <v>11</v>
      </c>
    </row>
    <row r="2" spans="1:9" x14ac:dyDescent="0.25">
      <c r="A2">
        <v>1</v>
      </c>
      <c r="B2" s="5">
        <v>64</v>
      </c>
      <c r="C2" s="5">
        <v>108</v>
      </c>
      <c r="D2" s="5">
        <f>B2^2</f>
        <v>4096</v>
      </c>
      <c r="E2" s="6">
        <f>C2^2</f>
        <v>11664</v>
      </c>
      <c r="F2" s="6">
        <f>B2*C2</f>
        <v>6912</v>
      </c>
      <c r="G2" s="2">
        <f>(B2-$B$19)^2</f>
        <v>178.55640624999992</v>
      </c>
      <c r="H2" s="2">
        <f>(C2-$C$19)^2</f>
        <v>44.72265625</v>
      </c>
      <c r="I2" s="2">
        <f>(B2-$B$19)*(C2-$C$19)</f>
        <v>-89.36171874999998</v>
      </c>
    </row>
    <row r="3" spans="1:9" x14ac:dyDescent="0.25">
      <c r="A3">
        <v>2</v>
      </c>
      <c r="B3" s="6">
        <v>75.3</v>
      </c>
      <c r="C3" s="6">
        <v>109</v>
      </c>
      <c r="D3" s="6">
        <f t="shared" ref="D3:D17" si="0">B3^2</f>
        <v>5670.0899999999992</v>
      </c>
      <c r="E3" s="6">
        <f t="shared" ref="E3:E17" si="1">C3^2</f>
        <v>11881</v>
      </c>
      <c r="F3" s="6">
        <f t="shared" ref="F3:F17" si="2">B3*C3</f>
        <v>8207.6999999999989</v>
      </c>
      <c r="G3" s="3">
        <f t="shared" ref="G3:G17" si="3">(B3-$B$19)^2</f>
        <v>4.25390625</v>
      </c>
      <c r="H3" s="3">
        <f t="shared" ref="H3:H17" si="4">(C3-$C$19)^2</f>
        <v>59.09765625</v>
      </c>
      <c r="I3" s="3">
        <f t="shared" ref="I3:I17" si="5">(B3-$B$19)*(C3-$C$19)</f>
        <v>-15.85546875</v>
      </c>
    </row>
    <row r="4" spans="1:9" x14ac:dyDescent="0.25">
      <c r="A4">
        <v>3</v>
      </c>
      <c r="B4" s="6">
        <v>73</v>
      </c>
      <c r="C4" s="6">
        <v>104</v>
      </c>
      <c r="D4" s="6">
        <f t="shared" si="0"/>
        <v>5329</v>
      </c>
      <c r="E4" s="6">
        <f t="shared" si="1"/>
        <v>10816</v>
      </c>
      <c r="F4" s="6">
        <f t="shared" si="2"/>
        <v>7592</v>
      </c>
      <c r="G4" s="3">
        <f t="shared" si="3"/>
        <v>19.031406249999975</v>
      </c>
      <c r="H4" s="3">
        <f t="shared" si="4"/>
        <v>7.22265625</v>
      </c>
      <c r="I4" s="3">
        <f t="shared" si="5"/>
        <v>-11.724218749999991</v>
      </c>
    </row>
    <row r="5" spans="1:9" x14ac:dyDescent="0.25">
      <c r="A5">
        <v>4</v>
      </c>
      <c r="B5" s="6">
        <v>82.1</v>
      </c>
      <c r="C5" s="6">
        <v>102</v>
      </c>
      <c r="D5" s="6">
        <f t="shared" si="0"/>
        <v>6740.4099999999989</v>
      </c>
      <c r="E5" s="6">
        <f t="shared" si="1"/>
        <v>10404</v>
      </c>
      <c r="F5" s="6">
        <f t="shared" si="2"/>
        <v>8374.1999999999989</v>
      </c>
      <c r="G5" s="3">
        <f t="shared" si="3"/>
        <v>22.443906249999973</v>
      </c>
      <c r="H5" s="3">
        <f t="shared" si="4"/>
        <v>0.47265625</v>
      </c>
      <c r="I5" s="3">
        <f t="shared" si="5"/>
        <v>3.257031249999998</v>
      </c>
    </row>
    <row r="6" spans="1:9" x14ac:dyDescent="0.25">
      <c r="A6">
        <v>5</v>
      </c>
      <c r="B6" s="6">
        <v>76.2</v>
      </c>
      <c r="C6" s="6">
        <v>105</v>
      </c>
      <c r="D6" s="6">
        <f t="shared" si="0"/>
        <v>5806.4400000000005</v>
      </c>
      <c r="E6" s="6">
        <f t="shared" si="1"/>
        <v>11025</v>
      </c>
      <c r="F6" s="6">
        <f t="shared" si="2"/>
        <v>8001</v>
      </c>
      <c r="G6" s="3">
        <f t="shared" si="3"/>
        <v>1.3514062499999868</v>
      </c>
      <c r="H6" s="3">
        <f t="shared" si="4"/>
        <v>13.59765625</v>
      </c>
      <c r="I6" s="3">
        <f t="shared" si="5"/>
        <v>-4.286718749999979</v>
      </c>
    </row>
    <row r="7" spans="1:9" x14ac:dyDescent="0.25">
      <c r="A7">
        <v>6</v>
      </c>
      <c r="B7" s="6">
        <v>95.7</v>
      </c>
      <c r="C7" s="6">
        <v>121</v>
      </c>
      <c r="D7" s="6">
        <f t="shared" si="0"/>
        <v>9158.49</v>
      </c>
      <c r="E7" s="6">
        <f t="shared" si="1"/>
        <v>14641</v>
      </c>
      <c r="F7" s="6">
        <f t="shared" si="2"/>
        <v>11579.7</v>
      </c>
      <c r="G7" s="3">
        <f t="shared" si="3"/>
        <v>336.26390625000022</v>
      </c>
      <c r="H7" s="3">
        <f t="shared" si="4"/>
        <v>387.59765625</v>
      </c>
      <c r="I7" s="3">
        <f t="shared" si="5"/>
        <v>361.01953125000011</v>
      </c>
    </row>
    <row r="8" spans="1:9" x14ac:dyDescent="0.25">
      <c r="A8">
        <v>7</v>
      </c>
      <c r="B8" s="6">
        <v>59.4</v>
      </c>
      <c r="C8" s="6">
        <v>79</v>
      </c>
      <c r="D8" s="6">
        <f t="shared" si="0"/>
        <v>3528.3599999999997</v>
      </c>
      <c r="E8" s="6">
        <f t="shared" si="1"/>
        <v>6241</v>
      </c>
      <c r="F8" s="6">
        <f t="shared" si="2"/>
        <v>4692.5999999999995</v>
      </c>
      <c r="G8" s="3">
        <f t="shared" si="3"/>
        <v>322.65140624999992</v>
      </c>
      <c r="H8" s="3">
        <f t="shared" si="4"/>
        <v>497.84765625</v>
      </c>
      <c r="I8" s="3">
        <f t="shared" si="5"/>
        <v>400.78828124999995</v>
      </c>
    </row>
    <row r="9" spans="1:9" x14ac:dyDescent="0.25">
      <c r="A9">
        <v>8</v>
      </c>
      <c r="B9" s="6">
        <v>93.4</v>
      </c>
      <c r="C9" s="6">
        <v>107</v>
      </c>
      <c r="D9" s="6">
        <f t="shared" si="0"/>
        <v>8723.5600000000013</v>
      </c>
      <c r="E9" s="6">
        <f t="shared" si="1"/>
        <v>11449</v>
      </c>
      <c r="F9" s="6">
        <f t="shared" si="2"/>
        <v>9993.8000000000011</v>
      </c>
      <c r="G9" s="3">
        <f t="shared" si="3"/>
        <v>257.20140625000028</v>
      </c>
      <c r="H9" s="3">
        <f t="shared" si="4"/>
        <v>32.34765625</v>
      </c>
      <c r="I9" s="3">
        <f t="shared" si="5"/>
        <v>91.213281250000051</v>
      </c>
    </row>
    <row r="10" spans="1:9" x14ac:dyDescent="0.25">
      <c r="A10">
        <v>9</v>
      </c>
      <c r="B10" s="6">
        <v>82.1</v>
      </c>
      <c r="C10" s="6">
        <v>101</v>
      </c>
      <c r="D10" s="6">
        <f t="shared" si="0"/>
        <v>6740.4099999999989</v>
      </c>
      <c r="E10" s="6">
        <f t="shared" si="1"/>
        <v>10201</v>
      </c>
      <c r="F10" s="6">
        <f t="shared" si="2"/>
        <v>8292.0999999999985</v>
      </c>
      <c r="G10" s="3">
        <f t="shared" si="3"/>
        <v>22.443906249999973</v>
      </c>
      <c r="H10" s="3">
        <f t="shared" si="4"/>
        <v>9.765625E-2</v>
      </c>
      <c r="I10" s="3">
        <f t="shared" si="5"/>
        <v>-1.4804687499999991</v>
      </c>
    </row>
    <row r="11" spans="1:9" x14ac:dyDescent="0.25">
      <c r="A11">
        <v>10</v>
      </c>
      <c r="B11" s="6">
        <v>78.900000000000006</v>
      </c>
      <c r="C11" s="6">
        <v>85</v>
      </c>
      <c r="D11" s="6">
        <f t="shared" si="0"/>
        <v>6225.2100000000009</v>
      </c>
      <c r="E11" s="6">
        <f t="shared" si="1"/>
        <v>7225</v>
      </c>
      <c r="F11" s="6">
        <f t="shared" si="2"/>
        <v>6706.5000000000009</v>
      </c>
      <c r="G11" s="3">
        <f t="shared" si="3"/>
        <v>2.3639062500000261</v>
      </c>
      <c r="H11" s="3">
        <f t="shared" si="4"/>
        <v>266.09765625</v>
      </c>
      <c r="I11" s="3">
        <f t="shared" si="5"/>
        <v>-25.08046875000014</v>
      </c>
    </row>
    <row r="12" spans="1:9" x14ac:dyDescent="0.25">
      <c r="A12">
        <v>11</v>
      </c>
      <c r="B12" s="6">
        <v>76.7</v>
      </c>
      <c r="C12" s="6">
        <v>99</v>
      </c>
      <c r="D12" s="6">
        <f t="shared" si="0"/>
        <v>5882.89</v>
      </c>
      <c r="E12" s="6">
        <f t="shared" si="1"/>
        <v>9801</v>
      </c>
      <c r="F12" s="6">
        <f t="shared" si="2"/>
        <v>7593.3</v>
      </c>
      <c r="G12" s="3">
        <f t="shared" si="3"/>
        <v>0.43890624999999245</v>
      </c>
      <c r="H12" s="3">
        <f t="shared" si="4"/>
        <v>5.34765625</v>
      </c>
      <c r="I12" s="3">
        <f t="shared" si="5"/>
        <v>1.5320312499999869</v>
      </c>
    </row>
    <row r="13" spans="1:9" x14ac:dyDescent="0.25">
      <c r="A13">
        <v>12</v>
      </c>
      <c r="B13" s="6">
        <v>82.1</v>
      </c>
      <c r="C13" s="6">
        <v>100</v>
      </c>
      <c r="D13" s="6">
        <f t="shared" si="0"/>
        <v>6740.4099999999989</v>
      </c>
      <c r="E13" s="6">
        <f t="shared" si="1"/>
        <v>10000</v>
      </c>
      <c r="F13" s="6">
        <f t="shared" si="2"/>
        <v>8210</v>
      </c>
      <c r="G13" s="3">
        <f t="shared" si="3"/>
        <v>22.443906249999973</v>
      </c>
      <c r="H13" s="3">
        <f t="shared" si="4"/>
        <v>1.72265625</v>
      </c>
      <c r="I13" s="3">
        <f t="shared" si="5"/>
        <v>-6.2179687499999963</v>
      </c>
    </row>
    <row r="14" spans="1:9" x14ac:dyDescent="0.25">
      <c r="A14">
        <v>13</v>
      </c>
      <c r="B14" s="6">
        <v>83.9</v>
      </c>
      <c r="C14" s="6">
        <v>108</v>
      </c>
      <c r="D14" s="6">
        <f t="shared" si="0"/>
        <v>7039.2100000000009</v>
      </c>
      <c r="E14" s="6">
        <f t="shared" si="1"/>
        <v>11664</v>
      </c>
      <c r="F14" s="6">
        <f t="shared" si="2"/>
        <v>9061.2000000000007</v>
      </c>
      <c r="G14" s="3">
        <f t="shared" si="3"/>
        <v>42.738906250000113</v>
      </c>
      <c r="H14" s="3">
        <f t="shared" si="4"/>
        <v>44.72265625</v>
      </c>
      <c r="I14" s="3">
        <f t="shared" si="5"/>
        <v>43.71953125000006</v>
      </c>
    </row>
    <row r="15" spans="1:9" x14ac:dyDescent="0.25">
      <c r="A15">
        <v>14</v>
      </c>
      <c r="B15" s="6">
        <v>73</v>
      </c>
      <c r="C15" s="6">
        <v>104</v>
      </c>
      <c r="D15" s="6">
        <f t="shared" si="0"/>
        <v>5329</v>
      </c>
      <c r="E15" s="6">
        <f t="shared" si="1"/>
        <v>10816</v>
      </c>
      <c r="F15" s="6">
        <f t="shared" si="2"/>
        <v>7592</v>
      </c>
      <c r="G15" s="3">
        <f t="shared" si="3"/>
        <v>19.031406249999975</v>
      </c>
      <c r="H15" s="3">
        <f t="shared" si="4"/>
        <v>7.22265625</v>
      </c>
      <c r="I15" s="3">
        <f t="shared" si="5"/>
        <v>-11.724218749999991</v>
      </c>
    </row>
    <row r="16" spans="1:9" x14ac:dyDescent="0.25">
      <c r="A16">
        <v>15</v>
      </c>
      <c r="B16" s="6">
        <v>64.400000000000006</v>
      </c>
      <c r="C16" s="6">
        <v>102</v>
      </c>
      <c r="D16" s="6">
        <f t="shared" si="0"/>
        <v>4147.3600000000006</v>
      </c>
      <c r="E16" s="6">
        <f t="shared" si="1"/>
        <v>10404</v>
      </c>
      <c r="F16" s="6">
        <f t="shared" si="2"/>
        <v>6568.8</v>
      </c>
      <c r="G16" s="3">
        <f t="shared" si="3"/>
        <v>168.02640624999978</v>
      </c>
      <c r="H16" s="3">
        <f t="shared" si="4"/>
        <v>0.47265625</v>
      </c>
      <c r="I16" s="3">
        <f t="shared" si="5"/>
        <v>-8.911718749999995</v>
      </c>
    </row>
    <row r="17" spans="1:9" x14ac:dyDescent="0.25">
      <c r="A17">
        <v>16</v>
      </c>
      <c r="B17" s="7">
        <v>77.599999999999994</v>
      </c>
      <c r="C17" s="7">
        <v>87</v>
      </c>
      <c r="D17" s="7">
        <f t="shared" si="0"/>
        <v>6021.7599999999993</v>
      </c>
      <c r="E17" s="7">
        <f t="shared" si="1"/>
        <v>7569</v>
      </c>
      <c r="F17" s="7">
        <f t="shared" si="2"/>
        <v>6751.2</v>
      </c>
      <c r="G17" s="4">
        <f t="shared" si="3"/>
        <v>5.6406249999998652E-2</v>
      </c>
      <c r="H17" s="4">
        <f t="shared" si="4"/>
        <v>204.84765625</v>
      </c>
      <c r="I17" s="4">
        <f t="shared" si="5"/>
        <v>-3.3992187499999593</v>
      </c>
    </row>
    <row r="18" spans="1:9" x14ac:dyDescent="0.25">
      <c r="A18" t="s">
        <v>2</v>
      </c>
      <c r="B18" s="10">
        <f>SUM(B2:B17)</f>
        <v>1237.8</v>
      </c>
      <c r="C18" s="11">
        <f>SUM(C2:C17)</f>
        <v>1621</v>
      </c>
      <c r="D18" s="10">
        <f t="shared" ref="D18:F18" si="6">SUM(D2:D17)</f>
        <v>97178.6</v>
      </c>
      <c r="E18" s="11">
        <f t="shared" si="6"/>
        <v>165801</v>
      </c>
      <c r="F18" s="8">
        <f t="shared" si="6"/>
        <v>126128.09999999999</v>
      </c>
      <c r="G18" s="8">
        <f t="shared" ref="G18" si="7">SUM(G2:G17)</f>
        <v>1419.2975000000004</v>
      </c>
      <c r="H18" s="8">
        <f t="shared" ref="H18:I18" si="8">SUM(H2:H17)</f>
        <v>1573.4375</v>
      </c>
      <c r="I18" s="8">
        <f t="shared" si="8"/>
        <v>723.48750000000007</v>
      </c>
    </row>
    <row r="19" spans="1:9" x14ac:dyDescent="0.25">
      <c r="A19" t="s">
        <v>8</v>
      </c>
      <c r="B19" s="10">
        <f>AVERAGE(B2:B17)</f>
        <v>77.362499999999997</v>
      </c>
      <c r="C19" s="11">
        <f>AVERAGE(C2:C17)</f>
        <v>101.3125</v>
      </c>
      <c r="D19" s="10"/>
      <c r="E19" s="11"/>
      <c r="F19" s="8"/>
    </row>
    <row r="20" spans="1:9" x14ac:dyDescent="0.25">
      <c r="A20" s="12"/>
      <c r="B20" s="12"/>
      <c r="C20" s="12"/>
      <c r="D20" s="12"/>
      <c r="E20" s="12"/>
      <c r="F20" s="12"/>
      <c r="G20" s="12"/>
      <c r="H20" s="12"/>
    </row>
    <row r="25" spans="1:9" x14ac:dyDescent="0.25">
      <c r="A25" s="9" t="s">
        <v>6</v>
      </c>
      <c r="B25">
        <f>16*F18-(B18*C18)</f>
        <v>11575.800000000047</v>
      </c>
      <c r="C25">
        <f>B25/B26</f>
        <v>0.48413843820628377</v>
      </c>
      <c r="E25" s="15" t="s">
        <v>7</v>
      </c>
      <c r="F25" s="15">
        <f>CORREL(B2:B17,C2:C17)</f>
        <v>0.48413843820628438</v>
      </c>
    </row>
    <row r="26" spans="1:9" x14ac:dyDescent="0.25">
      <c r="B26">
        <f>SQRT((16*D18-(B18)^2)*(16*E18-(C18)^2))</f>
        <v>23910.103157452209</v>
      </c>
    </row>
    <row r="27" spans="1:9" x14ac:dyDescent="0.25">
      <c r="A27" s="13"/>
      <c r="B27" s="13"/>
      <c r="C27" s="13"/>
      <c r="D27" s="13"/>
      <c r="E27" s="13"/>
      <c r="F27" s="13"/>
      <c r="G27" s="13"/>
      <c r="H27" s="13"/>
    </row>
    <row r="28" spans="1:9" x14ac:dyDescent="0.25">
      <c r="B28" t="s">
        <v>13</v>
      </c>
      <c r="F28" t="s">
        <v>12</v>
      </c>
      <c r="G28" s="14">
        <f>I18/G18</f>
        <v>0.50975042230399181</v>
      </c>
    </row>
    <row r="31" spans="1:9" x14ac:dyDescent="0.25">
      <c r="B31" t="s">
        <v>14</v>
      </c>
      <c r="F31" t="s">
        <v>15</v>
      </c>
      <c r="G31">
        <f>C19-G28*B19</f>
        <v>61.876932954507431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2015-11-12T19:28:22Z</dcterms:modified>
</cp:coreProperties>
</file>